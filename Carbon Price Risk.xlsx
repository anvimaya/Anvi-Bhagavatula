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https://indiana-my.sharepoint.com/personal/abhagava_iu_edu/Documents/"/>
    </mc:Choice>
  </mc:AlternateContent>
  <xr:revisionPtr revIDLastSave="0" documentId="8_{6E5A8AF0-5E75-534A-A5A3-999D48353194}" xr6:coauthVersionLast="47" xr6:coauthVersionMax="47" xr10:uidLastSave="{00000000-0000-0000-0000-000000000000}"/>
  <bookViews>
    <workbookView xWindow="0" yWindow="660" windowWidth="30240" windowHeight="18980" xr2:uid="{DCC073AB-0FB5-D046-A08C-E9CEA33EF720}"/>
  </bookViews>
  <sheets>
    <sheet name="Sheet1" sheetId="1" r:id="rId1"/>
  </sheets>
  <definedNames>
    <definedName name="Price">Sheet1!$A$1</definedName>
    <definedName name="Risk">Sheet1!$D$13:$E$13</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2" i="1"/>
  <c r="E13" i="1" l="1"/>
  <c r="E12" i="1"/>
  <c r="E11" i="1"/>
</calcChain>
</file>

<file path=xl/sharedStrings.xml><?xml version="1.0" encoding="utf-8"?>
<sst xmlns="http://schemas.openxmlformats.org/spreadsheetml/2006/main" count="8" uniqueCount="8">
  <si>
    <t xml:space="preserve">In today’s RGGI regime, a representative carbon price is around the mid-$20s. I am anchoring the mean to around $24.00, given the historic prices of carbon on RGGI standards.  </t>
  </si>
  <si>
    <t xml:space="preserve">Renewable energy resources are better in this scenario as the price of carbon is very volatile in the current and predicted regimes, and therefore, avoiding an increase in cost, is beneficial. </t>
  </si>
  <si>
    <t>Mean</t>
  </si>
  <si>
    <t>Std Dev</t>
  </si>
  <si>
    <t>At plausible carbon prices, the company frequently enters a brown-like risk regime.”</t>
  </si>
  <si>
    <t xml:space="preserve">Risk </t>
  </si>
  <si>
    <t>Given the policy-driven and volatile nature of carbon markets, I didn’t rely on a single forecast. Instead, I used recent RGGI data to anchor a central price level and ran a Monte Carlo simulation to quantify the distribution of possible future prices and associated risk.</t>
  </si>
  <si>
    <t>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</si>
</sst>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quot;$&quot;#,##0.00"/>
  </numFmts>
  <fonts count="6" x14ac:knownFonts="1">
    <font>
      <sz val="12"/>
      <color theme="1"/>
      <name val="Aptos Narrow"/>
      <family val="2"/>
      <scheme val="minor"/>
    </font>
    <font>
      <sz val="14"/>
      <color rgb="FF05192D"/>
      <name val="Aptos"/>
    </font>
    <font>
      <b/>
      <sz val="14"/>
      <color rgb="FF05192D"/>
      <name val="Aptos"/>
    </font>
    <font>
      <sz val="14"/>
      <color rgb="FF000000"/>
      <name val="Aptos"/>
    </font>
    <font>
      <b/>
      <sz val="14"/>
      <color theme="1"/>
      <name val="Aptos"/>
    </font>
    <font>
      <sz val="14"/>
      <color theme="1"/>
      <name val="Aptos"/>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169" fontId="5"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2A284-2DF1-864F-8158-5B66FC53D7D1}">
  <dimension ref="A1:H35"/>
  <sheetViews>
    <sheetView tabSelected="1" zoomScale="61" workbookViewId="0">
      <selection activeCell="K38" sqref="K38"/>
    </sheetView>
  </sheetViews>
  <sheetFormatPr baseColWidth="10" defaultRowHeight="19" x14ac:dyDescent="0.25"/>
  <cols>
    <col min="1" max="1" width="86.33203125" style="5" customWidth="1"/>
    <col min="2" max="2" width="10.83203125" style="5"/>
    <col min="3" max="3" width="16.33203125" style="5" customWidth="1"/>
    <col min="4" max="4" width="13.83203125" style="5" customWidth="1"/>
    <col min="5" max="5" width="37.33203125" style="5" customWidth="1"/>
    <col min="6" max="8" width="10.83203125" style="5"/>
    <col min="9" max="9" width="21.1640625" style="5" customWidth="1"/>
    <col min="10" max="16384" width="10.83203125" style="5"/>
  </cols>
  <sheetData>
    <row r="1" spans="1:8" x14ac:dyDescent="0.25">
      <c r="A1" s="4" t="s">
        <v>7</v>
      </c>
    </row>
    <row r="2" spans="1:8" x14ac:dyDescent="0.25">
      <c r="A2" s="6">
        <f ca="1">_xlfn.NORM.INV(RAND(), 20, 3)</f>
        <v>23.893076110657713</v>
      </c>
      <c r="B2" s="1">
        <v>1</v>
      </c>
      <c r="C2" s="1"/>
      <c r="D2" s="1"/>
      <c r="E2" s="1"/>
      <c r="F2" s="1"/>
      <c r="G2" s="1"/>
      <c r="H2" s="1"/>
    </row>
    <row r="3" spans="1:8" x14ac:dyDescent="0.25">
      <c r="A3" s="6">
        <f t="shared" ref="A3:A31" ca="1" si="0">_xlfn.NORM.INV(RAND(), 20, 3)</f>
        <v>24.141071625605477</v>
      </c>
      <c r="B3" s="1">
        <v>2</v>
      </c>
      <c r="C3" s="1"/>
      <c r="D3" s="1"/>
    </row>
    <row r="4" spans="1:8" x14ac:dyDescent="0.25">
      <c r="A4" s="6">
        <f t="shared" ca="1" si="0"/>
        <v>23.137325873057868</v>
      </c>
      <c r="B4" s="1">
        <v>3</v>
      </c>
      <c r="C4" s="1"/>
      <c r="D4" s="1"/>
    </row>
    <row r="5" spans="1:8" x14ac:dyDescent="0.25">
      <c r="A5" s="6">
        <f t="shared" ca="1" si="0"/>
        <v>17.423568305234813</v>
      </c>
      <c r="B5" s="1">
        <v>4</v>
      </c>
      <c r="C5" s="1"/>
      <c r="D5" s="1"/>
    </row>
    <row r="6" spans="1:8" x14ac:dyDescent="0.25">
      <c r="A6" s="6">
        <f t="shared" ca="1" si="0"/>
        <v>21.451275694649627</v>
      </c>
      <c r="B6" s="1">
        <v>5</v>
      </c>
      <c r="C6" s="1"/>
      <c r="D6" s="1"/>
    </row>
    <row r="7" spans="1:8" x14ac:dyDescent="0.25">
      <c r="A7" s="6">
        <f t="shared" ca="1" si="0"/>
        <v>15.81659147361302</v>
      </c>
      <c r="B7" s="1">
        <v>6</v>
      </c>
      <c r="C7" s="1"/>
      <c r="D7" s="1"/>
    </row>
    <row r="8" spans="1:8" x14ac:dyDescent="0.25">
      <c r="A8" s="6">
        <f t="shared" ca="1" si="0"/>
        <v>19.163106811533833</v>
      </c>
      <c r="B8" s="1">
        <v>7</v>
      </c>
      <c r="C8" s="1"/>
      <c r="D8" s="1"/>
    </row>
    <row r="9" spans="1:8" x14ac:dyDescent="0.25">
      <c r="A9" s="6">
        <f t="shared" ca="1" si="0"/>
        <v>20.143582816544757</v>
      </c>
      <c r="B9" s="1">
        <v>8</v>
      </c>
      <c r="C9" s="1"/>
      <c r="D9" s="1"/>
    </row>
    <row r="10" spans="1:8" x14ac:dyDescent="0.25">
      <c r="A10" s="6">
        <f t="shared" ca="1" si="0"/>
        <v>21.044144520656324</v>
      </c>
      <c r="B10" s="1">
        <v>9</v>
      </c>
      <c r="C10" s="1"/>
      <c r="D10" s="1"/>
    </row>
    <row r="11" spans="1:8" x14ac:dyDescent="0.25">
      <c r="A11" s="6">
        <f t="shared" ca="1" si="0"/>
        <v>11.158874690767332</v>
      </c>
      <c r="B11" s="1">
        <v>10</v>
      </c>
      <c r="C11" s="1"/>
      <c r="D11" s="2" t="s">
        <v>2</v>
      </c>
      <c r="E11" s="6">
        <f ca="1">AVERAGE(A2:A31)</f>
        <v>19.987406982266211</v>
      </c>
    </row>
    <row r="12" spans="1:8" x14ac:dyDescent="0.25">
      <c r="A12" s="6">
        <f t="shared" ca="1" si="0"/>
        <v>19.783291350984051</v>
      </c>
      <c r="B12" s="1">
        <v>11</v>
      </c>
      <c r="C12" s="1"/>
      <c r="D12" s="2" t="s">
        <v>3</v>
      </c>
      <c r="E12" s="5">
        <f ca="1">_xlfn.STDEV.S(A2:A31)</f>
        <v>3.0598181151708572</v>
      </c>
    </row>
    <row r="13" spans="1:8" x14ac:dyDescent="0.25">
      <c r="A13" s="6">
        <f t="shared" ca="1" si="0"/>
        <v>17.32607313237909</v>
      </c>
      <c r="B13" s="1">
        <v>12</v>
      </c>
      <c r="C13" s="1"/>
      <c r="D13" s="2" t="s">
        <v>5</v>
      </c>
      <c r="E13" s="6">
        <f ca="1">_xlfn.PERCENTILE.INC(A2:A31, 0.9)</f>
        <v>23.955581252579623</v>
      </c>
    </row>
    <row r="14" spans="1:8" x14ac:dyDescent="0.25">
      <c r="A14" s="6">
        <f t="shared" ca="1" si="0"/>
        <v>24.937939332019837</v>
      </c>
      <c r="B14" s="1">
        <v>13</v>
      </c>
      <c r="C14" s="1"/>
      <c r="D14" s="2"/>
    </row>
    <row r="15" spans="1:8" x14ac:dyDescent="0.25">
      <c r="A15" s="6">
        <f t="shared" ca="1" si="0"/>
        <v>20.769855550109472</v>
      </c>
      <c r="B15" s="1">
        <v>14</v>
      </c>
      <c r="C15" s="1"/>
      <c r="D15" s="1"/>
    </row>
    <row r="16" spans="1:8" x14ac:dyDescent="0.25">
      <c r="A16" s="6">
        <f t="shared" ca="1" si="0"/>
        <v>19.485207408912473</v>
      </c>
      <c r="B16" s="1">
        <v>15</v>
      </c>
      <c r="C16" s="1"/>
      <c r="D16" s="1"/>
    </row>
    <row r="17" spans="1:4" x14ac:dyDescent="0.25">
      <c r="A17" s="6">
        <f t="shared" ca="1" si="0"/>
        <v>22.73048640571389</v>
      </c>
      <c r="B17" s="1">
        <v>16</v>
      </c>
      <c r="C17" s="1"/>
      <c r="D17" s="1"/>
    </row>
    <row r="18" spans="1:4" x14ac:dyDescent="0.25">
      <c r="A18" s="6">
        <f t="shared" ca="1" si="0"/>
        <v>22.133930240846951</v>
      </c>
      <c r="B18" s="1">
        <v>17</v>
      </c>
      <c r="C18" s="1"/>
      <c r="D18" s="1"/>
    </row>
    <row r="19" spans="1:4" x14ac:dyDescent="0.25">
      <c r="A19" s="6">
        <f t="shared" ca="1" si="0"/>
        <v>18.579264446075072</v>
      </c>
      <c r="B19" s="1">
        <v>18</v>
      </c>
      <c r="C19" s="1"/>
      <c r="D19" s="1"/>
    </row>
    <row r="20" spans="1:4" x14ac:dyDescent="0.25">
      <c r="A20" s="6">
        <f t="shared" ca="1" si="0"/>
        <v>18.137905304751161</v>
      </c>
      <c r="B20" s="1">
        <v>19</v>
      </c>
      <c r="C20" s="1"/>
      <c r="D20" s="1"/>
    </row>
    <row r="21" spans="1:4" x14ac:dyDescent="0.25">
      <c r="A21" s="6">
        <f t="shared" ca="1" si="0"/>
        <v>19.695530992267788</v>
      </c>
      <c r="B21" s="1">
        <v>20</v>
      </c>
      <c r="C21" s="1"/>
      <c r="D21" s="1"/>
    </row>
    <row r="22" spans="1:4" x14ac:dyDescent="0.25">
      <c r="A22" s="6">
        <f t="shared" ca="1" si="0"/>
        <v>19.615563542333032</v>
      </c>
      <c r="B22" s="1">
        <v>21</v>
      </c>
      <c r="C22" s="1"/>
      <c r="D22" s="1"/>
    </row>
    <row r="23" spans="1:4" x14ac:dyDescent="0.25">
      <c r="A23" s="6">
        <f t="shared" ca="1" si="0"/>
        <v>19.861401573578469</v>
      </c>
      <c r="B23" s="1">
        <v>22</v>
      </c>
      <c r="C23" s="1"/>
      <c r="D23" s="1"/>
    </row>
    <row r="24" spans="1:4" x14ac:dyDescent="0.25">
      <c r="A24" s="6">
        <f t="shared" ca="1" si="0"/>
        <v>17.907850581983666</v>
      </c>
      <c r="B24" s="1">
        <v>23</v>
      </c>
      <c r="C24" s="1"/>
      <c r="D24" s="1"/>
    </row>
    <row r="25" spans="1:4" x14ac:dyDescent="0.25">
      <c r="A25" s="6">
        <f t="shared" ca="1" si="0"/>
        <v>18.649421175152693</v>
      </c>
      <c r="B25" s="1">
        <v>24</v>
      </c>
      <c r="C25" s="1"/>
      <c r="D25" s="1"/>
    </row>
    <row r="26" spans="1:4" x14ac:dyDescent="0.25">
      <c r="A26" s="6">
        <f t="shared" ca="1" si="0"/>
        <v>14.71575605641652</v>
      </c>
      <c r="B26" s="1">
        <v>25</v>
      </c>
      <c r="C26" s="1"/>
      <c r="D26" s="1"/>
    </row>
    <row r="27" spans="1:4" x14ac:dyDescent="0.25">
      <c r="A27" s="6">
        <f t="shared" ca="1" si="0"/>
        <v>23.934971211132307</v>
      </c>
      <c r="B27" s="1">
        <v>26</v>
      </c>
      <c r="C27" s="1"/>
      <c r="D27" s="1"/>
    </row>
    <row r="28" spans="1:4" x14ac:dyDescent="0.25">
      <c r="A28" s="6">
        <f t="shared" ca="1" si="0"/>
        <v>24.744356229083717</v>
      </c>
      <c r="B28" s="1">
        <v>27</v>
      </c>
      <c r="C28" s="1"/>
      <c r="D28" s="1"/>
    </row>
    <row r="29" spans="1:4" x14ac:dyDescent="0.25">
      <c r="A29" s="6">
        <f t="shared" ca="1" si="0"/>
        <v>19.632549320287392</v>
      </c>
      <c r="B29" s="1">
        <v>28</v>
      </c>
      <c r="C29" s="1"/>
      <c r="D29" s="1"/>
    </row>
    <row r="30" spans="1:4" x14ac:dyDescent="0.25">
      <c r="A30" s="6">
        <f t="shared" ca="1" si="0"/>
        <v>19.244630137872402</v>
      </c>
      <c r="B30" s="1">
        <v>29</v>
      </c>
      <c r="C30" s="1"/>
      <c r="D30" s="1"/>
    </row>
    <row r="31" spans="1:4" x14ac:dyDescent="0.25">
      <c r="A31" s="6">
        <f t="shared" ca="1" si="0"/>
        <v>20.36360755376581</v>
      </c>
      <c r="B31" s="1">
        <v>30</v>
      </c>
    </row>
    <row r="32" spans="1:4" ht="58" customHeight="1" x14ac:dyDescent="0.25">
      <c r="A32" s="3" t="s">
        <v>0</v>
      </c>
    </row>
    <row r="33" spans="1:1" ht="82" customHeight="1" x14ac:dyDescent="0.25">
      <c r="A33" s="5" t="s">
        <v>6</v>
      </c>
    </row>
    <row r="34" spans="1:1" ht="68" customHeight="1" x14ac:dyDescent="0.25">
      <c r="A34" s="5" t="s">
        <v>1</v>
      </c>
    </row>
    <row r="35" spans="1:1" ht="103" customHeight="1" x14ac:dyDescent="0.25">
      <c r="A35" s="3" t="s">
        <v>4</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Price</vt:lpstr>
      <vt:lpstr>Risk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Bhagavatula, Anvi</dc:creator>
  <cp:lastModifiedBy>Bhagavatula, Anvi</cp:lastModifiedBy>
  <dcterms:created xsi:type="dcterms:W3CDTF">2025-12-12T18:09:16Z</dcterms:created>
  <dcterms:modified xsi:type="dcterms:W3CDTF">2025-12-14T21:22:29Z</dcterms:modified>
</cp:coreProperties>
</file>